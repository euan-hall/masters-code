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sters-Code-main\"/>
    </mc:Choice>
  </mc:AlternateContent>
  <xr:revisionPtr revIDLastSave="0" documentId="13_ncr:2001_{51E3E764-22C2-4B8A-AEE1-9D7126BEA91B}" xr6:coauthVersionLast="47" xr6:coauthVersionMax="47" xr10:uidLastSave="{00000000-0000-0000-0000-000000000000}"/>
  <bookViews>
    <workbookView xWindow="2295" yWindow="2295" windowWidth="21600" windowHeight="11835" xr2:uid="{98C4BD69-C48E-47A3-8CC2-FA43FF89B99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D14" i="1"/>
  <c r="E14" i="1"/>
  <c r="B14" i="1"/>
  <c r="C13" i="1"/>
  <c r="D13" i="1"/>
  <c r="E13" i="1"/>
  <c r="B13" i="1"/>
  <c r="H9" i="1"/>
  <c r="C12" i="1"/>
  <c r="D12" i="1"/>
  <c r="E12" i="1"/>
  <c r="B12" i="1"/>
</calcChain>
</file>

<file path=xl/sharedStrings.xml><?xml version="1.0" encoding="utf-8"?>
<sst xmlns="http://schemas.openxmlformats.org/spreadsheetml/2006/main" count="26" uniqueCount="20">
  <si>
    <t>CNN</t>
  </si>
  <si>
    <t>VIT</t>
  </si>
  <si>
    <t>EfficientNet</t>
  </si>
  <si>
    <t>ResNet</t>
  </si>
  <si>
    <t>ViT</t>
  </si>
  <si>
    <t>PvTv2</t>
  </si>
  <si>
    <t>GFLOPS</t>
  </si>
  <si>
    <t>TFLOPS</t>
  </si>
  <si>
    <t>Trainable parameter count is the same as regular parameter count</t>
  </si>
  <si>
    <t>Parameter Count (Millions)</t>
  </si>
  <si>
    <t>Inference Time (s)</t>
  </si>
  <si>
    <t>Occlusion 0</t>
  </si>
  <si>
    <t>Occlusion 25</t>
  </si>
  <si>
    <t>Occlusion 50</t>
  </si>
  <si>
    <t>Mean Inference Time</t>
  </si>
  <si>
    <t>Per Image</t>
  </si>
  <si>
    <t>Per Image Batch</t>
  </si>
  <si>
    <t>Total Test Dataset Size</t>
  </si>
  <si>
    <t>Batch Size</t>
  </si>
  <si>
    <t>Number of 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</si>
</sst>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8812-78AC-4808-B1C3-8E80E7BF7497}">
  <dimension ref="A1:H14"/>
  <sheetViews>
    <sheetView tabSelected="1" workbookViewId="0">
      <selection activeCell="B15" sqref="B15"/>
    </sheetView>
  </sheetViews>
  <sheetFormatPr defaultRowHeight="15" x14ac:dyDescent="0.25"/>
  <cols>
    <col min="1" max="1" width="25.140625" bestFit="1" customWidth="1"/>
    <col min="2" max="2" width="11" bestFit="1" customWidth="1"/>
    <col min="4" max="4" width="8.85546875" customWidth="1"/>
    <col min="7" max="7" width="27.42578125" customWidth="1"/>
  </cols>
  <sheetData>
    <row r="1" spans="1:8" x14ac:dyDescent="0.25">
      <c r="B1" s="1" t="s">
        <v>0</v>
      </c>
      <c r="C1" s="1"/>
      <c r="D1" s="1" t="s">
        <v>1</v>
      </c>
      <c r="E1" s="1"/>
    </row>
    <row r="2" spans="1:8" x14ac:dyDescent="0.25">
      <c r="B2" t="s">
        <v>2</v>
      </c>
      <c r="C2" t="s">
        <v>3</v>
      </c>
      <c r="D2" t="s">
        <v>4</v>
      </c>
      <c r="E2" t="s">
        <v>5</v>
      </c>
      <c r="G2" t="s">
        <v>8</v>
      </c>
    </row>
    <row r="3" spans="1:8" x14ac:dyDescent="0.25">
      <c r="A3" t="s">
        <v>6</v>
      </c>
      <c r="B3">
        <v>0.77</v>
      </c>
      <c r="C3">
        <v>8.17</v>
      </c>
      <c r="D3">
        <v>35.130000000000003</v>
      </c>
      <c r="E3">
        <v>1.1299999999999999</v>
      </c>
    </row>
    <row r="4" spans="1:8" x14ac:dyDescent="0.25">
      <c r="A4" t="s">
        <v>7</v>
      </c>
      <c r="B4">
        <v>1.37</v>
      </c>
      <c r="C4">
        <v>14.66</v>
      </c>
      <c r="D4">
        <v>63.01</v>
      </c>
      <c r="E4">
        <v>2.0299999999999998</v>
      </c>
    </row>
    <row r="5" spans="1:8" x14ac:dyDescent="0.25">
      <c r="A5" t="s">
        <v>9</v>
      </c>
      <c r="B5">
        <v>4011391</v>
      </c>
      <c r="C5">
        <v>23540675</v>
      </c>
      <c r="D5">
        <v>85764099</v>
      </c>
      <c r="E5">
        <v>3410531</v>
      </c>
    </row>
    <row r="7" spans="1:8" x14ac:dyDescent="0.25">
      <c r="B7" s="1" t="s">
        <v>0</v>
      </c>
      <c r="C7" s="1"/>
      <c r="D7" s="1" t="s">
        <v>1</v>
      </c>
      <c r="E7" s="1"/>
      <c r="G7" t="s">
        <v>17</v>
      </c>
      <c r="H7">
        <v>267</v>
      </c>
    </row>
    <row r="8" spans="1:8" x14ac:dyDescent="0.25">
      <c r="A8" t="s">
        <v>10</v>
      </c>
      <c r="B8" t="s">
        <v>2</v>
      </c>
      <c r="C8" t="s">
        <v>3</v>
      </c>
      <c r="D8" t="s">
        <v>4</v>
      </c>
      <c r="E8" t="s">
        <v>5</v>
      </c>
      <c r="G8" t="s">
        <v>18</v>
      </c>
      <c r="H8">
        <v>32</v>
      </c>
    </row>
    <row r="9" spans="1:8" x14ac:dyDescent="0.25">
      <c r="A9" t="s">
        <v>11</v>
      </c>
      <c r="B9">
        <v>8.39</v>
      </c>
      <c r="C9">
        <v>3.32</v>
      </c>
      <c r="D9">
        <v>16.739999999999998</v>
      </c>
      <c r="E9">
        <v>3.5</v>
      </c>
      <c r="G9" t="s">
        <v>19</v>
      </c>
      <c r="H9">
        <f>H7/H8</f>
        <v>8.34375</v>
      </c>
    </row>
    <row r="10" spans="1:8" x14ac:dyDescent="0.25">
      <c r="A10" t="s">
        <v>12</v>
      </c>
      <c r="B10">
        <v>0.93</v>
      </c>
      <c r="C10">
        <v>3.15</v>
      </c>
      <c r="D10">
        <v>17.059999999999999</v>
      </c>
      <c r="E10">
        <v>0.96</v>
      </c>
    </row>
    <row r="11" spans="1:8" x14ac:dyDescent="0.25">
      <c r="A11" t="s">
        <v>13</v>
      </c>
      <c r="B11">
        <v>1.01</v>
      </c>
      <c r="C11">
        <v>3.2</v>
      </c>
      <c r="D11">
        <v>17.38</v>
      </c>
      <c r="E11">
        <v>0.99</v>
      </c>
    </row>
    <row r="12" spans="1:8" x14ac:dyDescent="0.25">
      <c r="A12" t="s">
        <v>14</v>
      </c>
      <c r="B12">
        <f>AVERAGE(B9:B11)</f>
        <v>3.4433333333333334</v>
      </c>
      <c r="C12">
        <f t="shared" ref="C12:E12" si="0">AVERAGE(C9:C11)</f>
        <v>3.2233333333333332</v>
      </c>
      <c r="D12">
        <f t="shared" si="0"/>
        <v>17.059999999999999</v>
      </c>
      <c r="E12">
        <f t="shared" si="0"/>
        <v>1.8166666666666667</v>
      </c>
    </row>
    <row r="13" spans="1:8" x14ac:dyDescent="0.25">
      <c r="A13" t="s">
        <v>16</v>
      </c>
      <c r="B13">
        <f>B12/$H8</f>
        <v>0.10760416666666667</v>
      </c>
      <c r="C13">
        <f t="shared" ref="C13:E13" si="1">C12/$H8</f>
        <v>0.10072916666666666</v>
      </c>
      <c r="D13">
        <f t="shared" si="1"/>
        <v>0.53312499999999996</v>
      </c>
      <c r="E13">
        <f t="shared" si="1"/>
        <v>5.6770833333333333E-2</v>
      </c>
    </row>
    <row r="14" spans="1:8" x14ac:dyDescent="0.25">
      <c r="A14" t="s">
        <v>15</v>
      </c>
      <c r="B14">
        <f>B12/$H7</f>
        <v>1.289637952559301E-2</v>
      </c>
      <c r="C14">
        <f t="shared" ref="C14:E14" si="2">C12/$H7</f>
        <v>1.2072409488139825E-2</v>
      </c>
      <c r="D14">
        <f t="shared" si="2"/>
        <v>6.3895131086142323E-2</v>
      </c>
      <c r="E14">
        <f t="shared" si="2"/>
        <v>6.803995006242197E-3</v>
      </c>
    </row>
  </sheetData>
  <mergeCells count="4">
    <mergeCell ref="B1:C1"/>
    <mergeCell ref="D1:E1"/>
    <mergeCell ref="B7:C7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Hall</dc:creator>
  <cp:lastModifiedBy>Euan Hall</cp:lastModifiedBy>
  <dcterms:created xsi:type="dcterms:W3CDTF">2026-05-08T18:15:48Z</dcterms:created>
  <dcterms:modified xsi:type="dcterms:W3CDTF">2026-05-09T09:23:55Z</dcterms:modified>
</cp:coreProperties>
</file>